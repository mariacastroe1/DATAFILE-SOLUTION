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ria.CAMILA.000\Documents\"/>
    </mc:Choice>
  </mc:AlternateContent>
  <xr:revisionPtr revIDLastSave="0" documentId="13_ncr:1_{27BFC404-A6B4-4F7D-9BFE-B2A1BD740CE1}" xr6:coauthVersionLast="47" xr6:coauthVersionMax="47" xr10:uidLastSave="{00000000-0000-0000-0000-000000000000}"/>
  <bookViews>
    <workbookView xWindow="-108" yWindow="-108" windowWidth="23256" windowHeight="13896" activeTab="1" xr2:uid="{B63DC5BE-610C-4CD4-B861-A90C1511645F}"/>
  </bookViews>
  <sheets>
    <sheet name="DIAGRAMA DE GANTT" sheetId="4" r:id="rId1"/>
    <sheet name="PRESUPUESTAC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2" l="1"/>
  <c r="G13" i="2"/>
  <c r="F13" i="2"/>
  <c r="G11" i="2"/>
  <c r="G9" i="2"/>
  <c r="I5" i="2"/>
  <c r="F9" i="2" l="1"/>
</calcChain>
</file>

<file path=xl/sharedStrings.xml><?xml version="1.0" encoding="utf-8"?>
<sst xmlns="http://schemas.openxmlformats.org/spreadsheetml/2006/main" count="136" uniqueCount="78">
  <si>
    <t>Fase</t>
  </si>
  <si>
    <t>Actividad</t>
  </si>
  <si>
    <t>Inicio</t>
  </si>
  <si>
    <t>Fin</t>
  </si>
  <si>
    <t>Estado</t>
  </si>
  <si>
    <t>Preparación</t>
  </si>
  <si>
    <t>Búsqueda individual de información y aprendizaje de encuentros sincrónicos de clase de Algoritmia</t>
  </si>
  <si>
    <t>■</t>
  </si>
  <si>
    <t>COMPLETADO</t>
  </si>
  <si>
    <t>Organización</t>
  </si>
  <si>
    <t>Primera reunión oficial del equipo y elaboración del Acta de Entendimiento</t>
  </si>
  <si>
    <t>Revisión de la rúbrica, alcance del proyecto y objetivos comunes</t>
  </si>
  <si>
    <t>Reunión de trabajo y elaboración del Acta de Colaboración</t>
  </si>
  <si>
    <t>Definición de canales de comunicación, frecuencia de reuniones y metodología de trabajo</t>
  </si>
  <si>
    <t>Reunión y elaboración del Acta de Responsabilidad</t>
  </si>
  <si>
    <t>Planeación</t>
  </si>
  <si>
    <t>Asignación de roles, responsabilidades y criterios de seguimiento</t>
  </si>
  <si>
    <t>Identidad</t>
  </si>
  <si>
    <t>Construcción de la identidad inicial del proyecto: nombre y logo</t>
  </si>
  <si>
    <t>Documentación</t>
  </si>
  <si>
    <t>Creación del repositorio GitHub e inicio de la documentación base</t>
  </si>
  <si>
    <t>Estructuración del README, perfiles del equipo y organización del repositorio</t>
  </si>
  <si>
    <t>Licencia</t>
  </si>
  <si>
    <t>Análisis</t>
  </si>
  <si>
    <t>Diseño</t>
  </si>
  <si>
    <t>Desarrollo</t>
  </si>
  <si>
    <t>Programación del módulo de usuarios</t>
  </si>
  <si>
    <t>Programación del módulo de ítems u objetos prestables</t>
  </si>
  <si>
    <t>Programación del módulo de préstamos y devoluciones</t>
  </si>
  <si>
    <t>Integración de módulos, validaciones y ajustes técnicos</t>
  </si>
  <si>
    <t>Calidad</t>
  </si>
  <si>
    <t>Pruebas funcionales, depuración y corrección de errores</t>
  </si>
  <si>
    <t>PENDIENTE</t>
  </si>
  <si>
    <t>Entrega</t>
  </si>
  <si>
    <t>Consolidación del proyecto completo y carga final en GitHub</t>
  </si>
  <si>
    <t>Cierre</t>
  </si>
  <si>
    <t>Convenciones</t>
  </si>
  <si>
    <t>Completado</t>
  </si>
  <si>
    <t>Pendiente</t>
  </si>
  <si>
    <t>Distribución estimada de horas por cada integrante</t>
  </si>
  <si>
    <t>PRESUPUESTACION</t>
  </si>
  <si>
    <t>DIAGRAMA DE GANTT - PROYECTO 'DATAFILE-SOLUTION'</t>
  </si>
  <si>
    <t>Planeación general de 16 semanas - Semestre del 9 de febrero al 13 de junio de 2026</t>
  </si>
  <si>
    <t>Revisión de opciones de licencia y adopción de la licencia MIT</t>
  </si>
  <si>
    <t>Definición de requisitos funcionales del sistema de préstamos y primer entregable</t>
  </si>
  <si>
    <t>Preparación técnica</t>
  </si>
  <si>
    <t>Instalación de GitHub Desktop y Visual Studio para la modularización y organización del programa</t>
  </si>
  <si>
    <t>Inicio del desarrollo del software</t>
  </si>
  <si>
    <t>Diseño de la estructura base del software, menú principal y flujo de navegación del sistema</t>
  </si>
  <si>
    <t>Preparación de la sustentación y ensayo de presentación final en Colab y GitHub</t>
  </si>
  <si>
    <t>Actualización del README, cronograma, actas y soportes del proyecto</t>
  </si>
  <si>
    <t>Nota aclaratoria: tuvimos unas semanas de receso insperadas debido a temas familiares y laborales por parte de los miembros del grupo, sin embargo decidimos reponer esas reuniones en tiempo de otras sesiones más adelante como se puede observar en el diagrama.</t>
  </si>
  <si>
    <t>Sem 1
9-Feb - 15-Feb</t>
  </si>
  <si>
    <t>Sem 2
16-Feb - 22-Feb</t>
  </si>
  <si>
    <t>Sem 3
23-Feb - 1-Mar</t>
  </si>
  <si>
    <t>Sem 4
2-Mar - 8-Mar</t>
  </si>
  <si>
    <t>Sem 5
9-Mar - 15-Mar</t>
  </si>
  <si>
    <t>Sem 6
16-Mar - 22-Mar</t>
  </si>
  <si>
    <t>Sem 7
23-Mar - 29-Mar</t>
  </si>
  <si>
    <t>Sem 8
30-Mar - 5-Abril</t>
  </si>
  <si>
    <t>Sem 9
6-Apr - 12-Abril</t>
  </si>
  <si>
    <t>Sem 10
13-Abril - 19 Abril</t>
  </si>
  <si>
    <t>Sem 11
20-abril - 26
Abril</t>
  </si>
  <si>
    <t>Sem 12
27-Abril - 3-Mayo</t>
  </si>
  <si>
    <t>Sem 13
4-Mayo- 10-
Mayo</t>
  </si>
  <si>
    <t>Sem 14
11-Mayo - 17
Mayo</t>
  </si>
  <si>
    <t>Sem 15
18-Mayo- 24-
Mayo</t>
  </si>
  <si>
    <t>Sem 16
25-Mayo - 13-
Junio</t>
  </si>
  <si>
    <r>
      <t>El equipo está conformado por dos</t>
    </r>
    <r>
      <rPr>
        <b/>
        <sz val="11"/>
        <color theme="1"/>
        <rFont val="Aptos Narrow"/>
        <family val="2"/>
        <scheme val="minor"/>
      </rPr>
      <t xml:space="preserve"> estudiantes</t>
    </r>
    <r>
      <rPr>
        <sz val="11"/>
        <color theme="1"/>
        <rFont val="Aptos Narrow"/>
        <family val="2"/>
        <scheme val="minor"/>
      </rPr>
      <t>,  a cada uno le corresponde una dedicación de 75</t>
    </r>
    <r>
      <rPr>
        <b/>
        <sz val="11"/>
        <color theme="1"/>
        <rFont val="Aptos Narrow"/>
        <family val="2"/>
        <scheme val="minor"/>
      </rPr>
      <t xml:space="preserve"> horas</t>
    </r>
    <r>
      <rPr>
        <sz val="11"/>
        <color theme="1"/>
        <rFont val="Aptos Narrow"/>
        <family val="2"/>
        <scheme val="minor"/>
      </rPr>
      <t xml:space="preserve">, para un total de </t>
    </r>
    <r>
      <rPr>
        <b/>
        <sz val="11"/>
        <color theme="1"/>
        <rFont val="Aptos Narrow"/>
        <family val="2"/>
        <scheme val="minor"/>
      </rPr>
      <t>150 horas de trabajo invertidas en el proyecto</t>
    </r>
    <r>
      <rPr>
        <sz val="11"/>
        <color theme="1"/>
        <rFont val="Aptos Narrow"/>
        <family val="2"/>
        <scheme val="minor"/>
      </rPr>
      <t>. Estas horas fueron distribuidas entre las diferentes fases del proceso, incluyendo revisión de información, reuniones de organización, elaboración de actas, construcción del cronograma, diseño del software, programación, documentación, pruebas, corrección de errores y preparación de la sustentación final.</t>
    </r>
  </si>
  <si>
    <t xml:space="preserve">Lina Marcela Duque Giraldo </t>
  </si>
  <si>
    <t>Maria Camila Castro Estrada</t>
  </si>
  <si>
    <t>Integrantes</t>
  </si>
  <si>
    <t>Horas</t>
  </si>
  <si>
    <t>SMLV</t>
  </si>
  <si>
    <t>Pago por hora</t>
  </si>
  <si>
    <t>Costo individual</t>
  </si>
  <si>
    <t>total</t>
  </si>
  <si>
    <t>total  costo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</si>
</sst>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7" formatCode="_-[$$-240A]\ * #,##0_-;\-[$$-240A]\ * #,##0_-;_-[$$-240A]\ * &quot;-&quot;_-;_-@_-"/>
    <numFmt numFmtId="168" formatCode="_-[$$-240A]\ * #,##0.00_-;\-[$$-240A]\ * #,##0.00_-;_-[$$-240A]\ * &quot;-&quot;??_-;_-@_-"/>
  </numFmts>
  <fonts count="10">
    <font>
      <sz val="11"/>
      <color theme="1"/>
      <name val="Aptos Narrow"/>
      <family val="2"/>
      <scheme val="minor"/>
    </font>
    <font>
      <b/>
      <sz val="11"/>
      <color theme="1"/>
      <name val="Aptos Narrow"/>
      <family val="2"/>
      <scheme val="minor"/>
    </font>
    <font>
      <b/>
      <sz val="13.5"/>
      <color theme="1"/>
      <name val="Aptos Narrow"/>
      <family val="2"/>
      <scheme val="minor"/>
    </font>
    <font>
      <sz val="11"/>
      <name val="Carlito"/>
    </font>
    <font>
      <b/>
      <sz val="14"/>
      <color rgb="FFFFFFFF"/>
      <name val="Times New Roman"/>
      <family val="1"/>
    </font>
    <font>
      <i/>
      <sz val="10"/>
      <color rgb="FF1F1F1F"/>
      <name val="Times New Roman"/>
      <family val="1"/>
    </font>
    <font>
      <sz val="11"/>
      <color theme="1"/>
      <name val="Times New Roman"/>
      <family val="1"/>
    </font>
    <font>
      <b/>
      <sz val="10"/>
      <color rgb="FFFFFFFF"/>
      <name val="Times New Roman"/>
      <family val="1"/>
    </font>
    <font>
      <sz val="11"/>
      <name val="Times New Roman"/>
      <family val="1"/>
    </font>
    <font>
      <b/>
      <sz val="11"/>
      <color rgb="FF000000"/>
      <name val="Times New Roman"/>
      <family val="1"/>
    </font>
  </fonts>
  <fills count="10">
    <fill>
      <patternFill patternType="none"/>
    </fill>
    <fill>
      <patternFill patternType="gray125"/>
    </fill>
    <fill>
      <patternFill patternType="solid">
        <fgColor rgb="FFE2F0D9"/>
      </patternFill>
    </fill>
    <fill>
      <patternFill patternType="solid">
        <fgColor rgb="FFFFF2CC"/>
      </patternFill>
    </fill>
    <fill>
      <patternFill patternType="solid">
        <fgColor theme="9" tint="0.79998168889431442"/>
        <bgColor indexed="64"/>
      </patternFill>
    </fill>
    <fill>
      <patternFill patternType="solid">
        <fgColor rgb="FF1F4E79"/>
      </patternFill>
    </fill>
    <fill>
      <patternFill patternType="solid">
        <fgColor rgb="FFD9E2F3"/>
      </patternFill>
    </fill>
    <fill>
      <patternFill patternType="solid">
        <fgColor theme="3" tint="0.89999084444715716"/>
        <bgColor indexed="64"/>
      </patternFill>
    </fill>
    <fill>
      <patternFill patternType="solid">
        <fgColor theme="0"/>
        <bgColor indexed="64"/>
      </patternFill>
    </fill>
    <fill>
      <patternFill patternType="solid">
        <fgColor theme="6"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cellStyleXfs>
  <cellXfs count="42">
    <xf numFmtId="0" fontId="0" fillId="0" borderId="0" xfId="0"/>
    <xf numFmtId="0" fontId="6" fillId="0" borderId="0" xfId="0" applyFont="1" applyAlignment="1">
      <alignment wrapText="1"/>
    </xf>
    <xf numFmtId="0" fontId="7" fillId="5" borderId="0" xfId="1" applyFont="1" applyFill="1" applyAlignment="1">
      <alignment horizontal="center" vertical="center" wrapText="1"/>
    </xf>
    <xf numFmtId="0" fontId="8" fillId="0" borderId="0" xfId="1" applyFont="1" applyAlignment="1">
      <alignment horizontal="center" vertical="center" wrapText="1"/>
    </xf>
    <xf numFmtId="0" fontId="8" fillId="0" borderId="0" xfId="1" applyFont="1" applyAlignment="1">
      <alignment horizontal="left" vertical="center" wrapText="1"/>
    </xf>
    <xf numFmtId="0" fontId="9" fillId="2" borderId="0" xfId="1" applyFont="1" applyFill="1" applyAlignment="1">
      <alignment horizontal="center" vertical="center" wrapText="1"/>
    </xf>
    <xf numFmtId="164" fontId="8" fillId="0" borderId="0" xfId="1" applyNumberFormat="1" applyFont="1" applyAlignment="1">
      <alignment horizontal="center" vertical="center" wrapText="1"/>
    </xf>
    <xf numFmtId="0" fontId="9" fillId="3" borderId="0" xfId="1" applyFont="1" applyFill="1" applyAlignment="1">
      <alignment horizontal="center" vertical="center" wrapText="1"/>
    </xf>
    <xf numFmtId="0" fontId="8" fillId="0" borderId="0" xfId="1" applyFont="1" applyAlignment="1">
      <alignment wrapText="1"/>
    </xf>
    <xf numFmtId="0" fontId="8" fillId="2" borderId="0" xfId="1" applyFont="1" applyFill="1" applyAlignment="1">
      <alignment wrapText="1"/>
    </xf>
    <xf numFmtId="0" fontId="8" fillId="3" borderId="0" xfId="1" applyFont="1" applyFill="1" applyAlignment="1">
      <alignment wrapText="1"/>
    </xf>
    <xf numFmtId="0" fontId="4" fillId="5" borderId="0" xfId="1" applyFont="1" applyFill="1" applyAlignment="1">
      <alignment horizontal="center" vertical="center" wrapText="1"/>
    </xf>
    <xf numFmtId="0" fontId="5" fillId="6" borderId="0" xfId="1" applyFont="1" applyFill="1" applyAlignment="1">
      <alignment horizontal="center" vertical="center" wrapText="1"/>
    </xf>
    <xf numFmtId="0" fontId="7" fillId="5" borderId="0" xfId="1" applyFont="1" applyFill="1" applyAlignment="1">
      <alignment horizontal="center" vertical="center" wrapText="1"/>
    </xf>
    <xf numFmtId="0" fontId="6" fillId="7" borderId="0" xfId="0" applyFont="1" applyFill="1" applyAlignment="1">
      <alignment horizontal="left" vertical="center" wrapText="1"/>
    </xf>
    <xf numFmtId="0" fontId="0" fillId="8" borderId="0" xfId="0" applyFill="1"/>
    <xf numFmtId="0" fontId="0" fillId="0" borderId="0" xfId="0" applyBorder="1" applyAlignment="1">
      <alignment horizontal="left" vertical="center" wrapText="1"/>
    </xf>
    <xf numFmtId="0" fontId="0" fillId="0" borderId="0" xfId="0" applyBorder="1"/>
    <xf numFmtId="167" fontId="0" fillId="0" borderId="0" xfId="0" applyNumberFormat="1" applyBorder="1"/>
    <xf numFmtId="0" fontId="0" fillId="0" borderId="0" xfId="0" applyBorder="1" applyAlignment="1">
      <alignment horizontal="center"/>
    </xf>
    <xf numFmtId="168" fontId="0" fillId="0" borderId="0" xfId="0" applyNumberFormat="1" applyBorder="1"/>
    <xf numFmtId="0" fontId="0" fillId="0" borderId="0" xfId="0" applyFill="1" applyBorder="1"/>
    <xf numFmtId="0" fontId="1" fillId="0" borderId="0" xfId="0" applyFont="1" applyBorder="1"/>
    <xf numFmtId="0" fontId="1" fillId="0" borderId="0" xfId="0" applyFont="1" applyBorder="1" applyAlignment="1">
      <alignment horizontal="left" vertical="center" wrapText="1"/>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0" borderId="4" xfId="0" applyBorder="1" applyAlignment="1">
      <alignment horizontal="left" vertical="center" wrapText="1"/>
    </xf>
    <xf numFmtId="0" fontId="0" fillId="0" borderId="5" xfId="0" applyBorder="1" applyAlignment="1">
      <alignment horizontal="left" vertical="center" wrapText="1"/>
    </xf>
    <xf numFmtId="0" fontId="2" fillId="0" borderId="4" xfId="0" applyFont="1" applyBorder="1" applyAlignment="1">
      <alignment vertical="center"/>
    </xf>
    <xf numFmtId="0" fontId="0" fillId="0" borderId="5" xfId="0" applyBorder="1"/>
    <xf numFmtId="0" fontId="0" fillId="0" borderId="4" xfId="0" applyBorder="1" applyAlignment="1">
      <alignment horizontal="left" vertical="center" indent="1"/>
    </xf>
    <xf numFmtId="0" fontId="0" fillId="0" borderId="4" xfId="0" applyBorder="1"/>
    <xf numFmtId="0" fontId="1" fillId="0" borderId="4" xfId="0" applyFont="1" applyBorder="1" applyAlignment="1">
      <alignment horizontal="left" vertical="center" indent="1"/>
    </xf>
    <xf numFmtId="0" fontId="0" fillId="0" borderId="6" xfId="0" applyBorder="1"/>
    <xf numFmtId="0" fontId="0" fillId="0" borderId="7" xfId="0" applyBorder="1"/>
    <xf numFmtId="0" fontId="0" fillId="0" borderId="8" xfId="0" applyBorder="1"/>
    <xf numFmtId="0" fontId="1" fillId="9" borderId="4" xfId="0" applyFont="1" applyFill="1" applyBorder="1" applyAlignment="1">
      <alignment horizontal="left" vertical="center" indent="1"/>
    </xf>
    <xf numFmtId="0" fontId="0" fillId="9" borderId="0" xfId="0" applyFill="1" applyBorder="1"/>
    <xf numFmtId="0" fontId="0" fillId="9" borderId="0" xfId="0" applyFill="1" applyBorder="1" applyAlignment="1">
      <alignment horizontal="center"/>
    </xf>
    <xf numFmtId="168" fontId="0" fillId="9" borderId="0" xfId="0" applyNumberFormat="1" applyFill="1" applyBorder="1"/>
    <xf numFmtId="0" fontId="0" fillId="0" borderId="0" xfId="0" applyAlignment="1">
      <alignment wrapText="1"/>
    </xf>
  </cellXfs>
  <cellStyles count="2">
    <cellStyle name="Normal" xfId="0" builtinId="0"/>
    <cellStyle name="Normal 2" xfId="1" xr:uid="{89A254B6-E679-4D8A-9BF7-BC834F856C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9EFD8-98BE-4AAB-B901-4B3E83202205}">
  <sheetPr>
    <tabColor theme="3" tint="0.749992370372631"/>
    <pageSetUpPr fitToPage="1"/>
  </sheetPr>
  <dimension ref="A1:U39"/>
  <sheetViews>
    <sheetView zoomScale="80" zoomScaleNormal="80" workbookViewId="0">
      <selection activeCell="D6" sqref="D6"/>
    </sheetView>
  </sheetViews>
  <sheetFormatPr baseColWidth="10" defaultRowHeight="14.4"/>
  <cols>
    <col min="1" max="1" width="15.33203125" customWidth="1"/>
    <col min="2" max="2" width="47.33203125" customWidth="1"/>
    <col min="21" max="21" width="17" customWidth="1"/>
  </cols>
  <sheetData>
    <row r="1" spans="1:21" ht="17.399999999999999">
      <c r="A1" s="11" t="s">
        <v>41</v>
      </c>
      <c r="B1" s="11"/>
      <c r="C1" s="11"/>
      <c r="D1" s="11"/>
      <c r="E1" s="11"/>
      <c r="F1" s="11"/>
      <c r="G1" s="11"/>
      <c r="H1" s="11"/>
      <c r="I1" s="11"/>
      <c r="J1" s="11"/>
      <c r="K1" s="11"/>
      <c r="L1" s="11"/>
      <c r="M1" s="11"/>
      <c r="N1" s="11"/>
      <c r="O1" s="11"/>
      <c r="P1" s="11"/>
      <c r="Q1" s="11"/>
      <c r="R1" s="11"/>
      <c r="S1" s="11"/>
      <c r="T1" s="11"/>
      <c r="U1" s="11"/>
    </row>
    <row r="2" spans="1:21">
      <c r="A2" s="12" t="s">
        <v>42</v>
      </c>
      <c r="B2" s="12"/>
      <c r="C2" s="12"/>
      <c r="D2" s="12"/>
      <c r="E2" s="12"/>
      <c r="F2" s="12"/>
      <c r="G2" s="12"/>
      <c r="H2" s="12"/>
      <c r="I2" s="12"/>
      <c r="J2" s="12"/>
      <c r="K2" s="12"/>
      <c r="L2" s="12"/>
      <c r="M2" s="12"/>
      <c r="N2" s="12"/>
      <c r="O2" s="12"/>
      <c r="P2" s="12"/>
      <c r="Q2" s="12"/>
      <c r="R2" s="12"/>
      <c r="S2" s="12"/>
      <c r="T2" s="12"/>
      <c r="U2" s="12"/>
    </row>
    <row r="3" spans="1:21">
      <c r="A3" s="1"/>
      <c r="B3" s="1"/>
      <c r="C3" s="1"/>
      <c r="D3" s="1"/>
      <c r="E3" s="1"/>
      <c r="F3" s="1"/>
      <c r="G3" s="1"/>
      <c r="H3" s="1"/>
      <c r="I3" s="1"/>
      <c r="J3" s="1"/>
      <c r="K3" s="1"/>
      <c r="L3" s="1"/>
      <c r="M3" s="1"/>
      <c r="N3" s="1"/>
      <c r="O3" s="1"/>
      <c r="P3" s="1"/>
      <c r="Q3" s="1"/>
      <c r="R3" s="1"/>
      <c r="S3" s="1"/>
      <c r="T3" s="1"/>
      <c r="U3" s="1"/>
    </row>
    <row r="4" spans="1:21" ht="52.8">
      <c r="A4" s="2" t="s">
        <v>0</v>
      </c>
      <c r="B4" s="2" t="s">
        <v>1</v>
      </c>
      <c r="C4" s="2" t="s">
        <v>52</v>
      </c>
      <c r="D4" s="2" t="s">
        <v>53</v>
      </c>
      <c r="E4" s="2" t="s">
        <v>54</v>
      </c>
      <c r="F4" s="2" t="s">
        <v>55</v>
      </c>
      <c r="G4" s="2" t="s">
        <v>56</v>
      </c>
      <c r="H4" s="2" t="s">
        <v>57</v>
      </c>
      <c r="I4" s="2" t="s">
        <v>58</v>
      </c>
      <c r="J4" s="2" t="s">
        <v>59</v>
      </c>
      <c r="K4" s="2" t="s">
        <v>60</v>
      </c>
      <c r="L4" s="2" t="s">
        <v>61</v>
      </c>
      <c r="M4" s="2" t="s">
        <v>62</v>
      </c>
      <c r="N4" s="2" t="s">
        <v>63</v>
      </c>
      <c r="O4" s="2" t="s">
        <v>64</v>
      </c>
      <c r="P4" s="2" t="s">
        <v>65</v>
      </c>
      <c r="Q4" s="2" t="s">
        <v>66</v>
      </c>
      <c r="R4" s="2" t="s">
        <v>67</v>
      </c>
      <c r="S4" s="2" t="s">
        <v>2</v>
      </c>
      <c r="T4" s="2" t="s">
        <v>3</v>
      </c>
      <c r="U4" s="2" t="s">
        <v>4</v>
      </c>
    </row>
    <row r="5" spans="1:21" ht="27.6">
      <c r="A5" s="3" t="s">
        <v>5</v>
      </c>
      <c r="B5" s="4" t="s">
        <v>6</v>
      </c>
      <c r="C5" s="5" t="s">
        <v>7</v>
      </c>
      <c r="D5" s="5" t="s">
        <v>7</v>
      </c>
      <c r="E5" s="5" t="s">
        <v>7</v>
      </c>
      <c r="F5" s="3"/>
      <c r="G5" s="3"/>
      <c r="H5" s="3"/>
      <c r="I5" s="3"/>
      <c r="J5" s="3"/>
      <c r="K5" s="3"/>
      <c r="L5" s="3"/>
      <c r="M5" s="3"/>
      <c r="N5" s="3"/>
      <c r="O5" s="3"/>
      <c r="P5" s="3"/>
      <c r="Q5" s="3"/>
      <c r="R5" s="3"/>
      <c r="S5" s="6">
        <v>46062</v>
      </c>
      <c r="T5" s="6">
        <v>46082</v>
      </c>
      <c r="U5" s="5" t="s">
        <v>8</v>
      </c>
    </row>
    <row r="6" spans="1:21" ht="27.6">
      <c r="A6" s="3" t="s">
        <v>9</v>
      </c>
      <c r="B6" s="4" t="s">
        <v>10</v>
      </c>
      <c r="C6" s="3"/>
      <c r="D6" s="3"/>
      <c r="E6" s="3"/>
      <c r="F6" s="5" t="s">
        <v>7</v>
      </c>
      <c r="G6" s="3"/>
      <c r="H6" s="3"/>
      <c r="I6" s="3"/>
      <c r="J6" s="3"/>
      <c r="K6" s="3"/>
      <c r="L6" s="3"/>
      <c r="M6" s="3"/>
      <c r="N6" s="3"/>
      <c r="O6" s="3"/>
      <c r="P6" s="3"/>
      <c r="Q6" s="3"/>
      <c r="R6" s="3"/>
      <c r="S6" s="6">
        <v>46085</v>
      </c>
      <c r="T6" s="6">
        <v>46085</v>
      </c>
      <c r="U6" s="5" t="s">
        <v>8</v>
      </c>
    </row>
    <row r="7" spans="1:21" ht="27.6">
      <c r="A7" s="3" t="s">
        <v>9</v>
      </c>
      <c r="B7" s="4" t="s">
        <v>11</v>
      </c>
      <c r="C7" s="3"/>
      <c r="D7" s="3"/>
      <c r="E7" s="3"/>
      <c r="F7" s="5" t="s">
        <v>7</v>
      </c>
      <c r="G7" s="3"/>
      <c r="H7" s="3"/>
      <c r="I7" s="3"/>
      <c r="J7" s="3"/>
      <c r="K7" s="3"/>
      <c r="L7" s="3"/>
      <c r="M7" s="3"/>
      <c r="N7" s="3"/>
      <c r="O7" s="3"/>
      <c r="P7" s="3"/>
      <c r="Q7" s="3"/>
      <c r="R7" s="3"/>
      <c r="S7" s="6">
        <v>46085</v>
      </c>
      <c r="T7" s="6">
        <v>46089</v>
      </c>
      <c r="U7" s="5" t="s">
        <v>8</v>
      </c>
    </row>
    <row r="8" spans="1:21" ht="27.6">
      <c r="A8" s="3" t="s">
        <v>9</v>
      </c>
      <c r="B8" s="4" t="s">
        <v>12</v>
      </c>
      <c r="C8" s="3"/>
      <c r="D8" s="3"/>
      <c r="E8" s="3"/>
      <c r="F8" s="3"/>
      <c r="G8" s="5" t="s">
        <v>7</v>
      </c>
      <c r="H8" s="3"/>
      <c r="I8" s="3"/>
      <c r="J8" s="3"/>
      <c r="K8" s="3"/>
      <c r="L8" s="3"/>
      <c r="M8" s="3"/>
      <c r="N8" s="3"/>
      <c r="O8" s="3"/>
      <c r="P8" s="3"/>
      <c r="Q8" s="3"/>
      <c r="R8" s="3"/>
      <c r="S8" s="6">
        <v>46092</v>
      </c>
      <c r="T8" s="6">
        <v>46092</v>
      </c>
      <c r="U8" s="5" t="s">
        <v>8</v>
      </c>
    </row>
    <row r="9" spans="1:21" ht="27.6">
      <c r="A9" s="3" t="s">
        <v>9</v>
      </c>
      <c r="B9" s="4" t="s">
        <v>13</v>
      </c>
      <c r="C9" s="3"/>
      <c r="D9" s="3"/>
      <c r="E9" s="3"/>
      <c r="F9" s="3"/>
      <c r="G9" s="5" t="s">
        <v>7</v>
      </c>
      <c r="H9" s="3"/>
      <c r="I9" s="3"/>
      <c r="J9" s="3"/>
      <c r="K9" s="3"/>
      <c r="L9" s="3"/>
      <c r="M9" s="3"/>
      <c r="N9" s="3"/>
      <c r="O9" s="3"/>
      <c r="P9" s="3"/>
      <c r="Q9" s="3"/>
      <c r="R9" s="3"/>
      <c r="S9" s="6">
        <v>46093</v>
      </c>
      <c r="T9" s="6">
        <v>46096</v>
      </c>
      <c r="U9" s="5" t="s">
        <v>8</v>
      </c>
    </row>
    <row r="10" spans="1:21">
      <c r="A10" s="3" t="s">
        <v>9</v>
      </c>
      <c r="B10" s="4" t="s">
        <v>14</v>
      </c>
      <c r="C10" s="3"/>
      <c r="D10" s="3"/>
      <c r="E10" s="3"/>
      <c r="F10" s="3"/>
      <c r="G10" s="5" t="s">
        <v>7</v>
      </c>
      <c r="H10" s="3"/>
      <c r="I10" s="3"/>
      <c r="J10" s="3"/>
      <c r="K10" s="3"/>
      <c r="L10" s="3"/>
      <c r="M10" s="3"/>
      <c r="N10" s="3"/>
      <c r="O10" s="3"/>
      <c r="P10" s="3"/>
      <c r="Q10" s="3"/>
      <c r="R10" s="3"/>
      <c r="S10" s="6">
        <v>46094</v>
      </c>
      <c r="T10" s="6">
        <v>46094</v>
      </c>
      <c r="U10" s="5" t="s">
        <v>8</v>
      </c>
    </row>
    <row r="11" spans="1:21" ht="27.6">
      <c r="A11" s="3" t="s">
        <v>15</v>
      </c>
      <c r="B11" s="4" t="s">
        <v>16</v>
      </c>
      <c r="C11" s="3"/>
      <c r="D11" s="3"/>
      <c r="E11" s="3"/>
      <c r="F11" s="3"/>
      <c r="G11" s="5" t="s">
        <v>7</v>
      </c>
      <c r="H11" s="5" t="s">
        <v>7</v>
      </c>
      <c r="I11" s="3"/>
      <c r="J11" s="3"/>
      <c r="K11" s="3"/>
      <c r="L11" s="3"/>
      <c r="M11" s="3"/>
      <c r="N11" s="3"/>
      <c r="O11" s="3"/>
      <c r="P11" s="3"/>
      <c r="Q11" s="3"/>
      <c r="R11" s="3"/>
      <c r="S11" s="6">
        <v>46094</v>
      </c>
      <c r="T11" s="6">
        <v>46103</v>
      </c>
      <c r="U11" s="5" t="s">
        <v>8</v>
      </c>
    </row>
    <row r="12" spans="1:21" ht="27.6">
      <c r="A12" s="3" t="s">
        <v>17</v>
      </c>
      <c r="B12" s="4" t="s">
        <v>18</v>
      </c>
      <c r="C12" s="3"/>
      <c r="D12" s="3"/>
      <c r="E12" s="3"/>
      <c r="F12" s="3"/>
      <c r="G12" s="3"/>
      <c r="H12" s="5" t="s">
        <v>7</v>
      </c>
      <c r="I12" s="3"/>
      <c r="J12" s="3"/>
      <c r="K12" s="3"/>
      <c r="L12" s="3"/>
      <c r="M12" s="3"/>
      <c r="N12" s="3"/>
      <c r="O12" s="3"/>
      <c r="P12" s="3"/>
      <c r="Q12" s="3"/>
      <c r="R12" s="3"/>
      <c r="S12" s="6">
        <v>46103</v>
      </c>
      <c r="T12" s="6">
        <v>46103</v>
      </c>
      <c r="U12" s="5" t="s">
        <v>8</v>
      </c>
    </row>
    <row r="13" spans="1:21" ht="27.6">
      <c r="A13" s="3" t="s">
        <v>19</v>
      </c>
      <c r="B13" s="4" t="s">
        <v>20</v>
      </c>
      <c r="C13" s="3"/>
      <c r="D13" s="3"/>
      <c r="E13" s="3"/>
      <c r="F13" s="3"/>
      <c r="G13" s="3"/>
      <c r="H13" s="3"/>
      <c r="I13" s="5" t="s">
        <v>7</v>
      </c>
      <c r="J13" s="3"/>
      <c r="K13" s="3"/>
      <c r="L13" s="3"/>
      <c r="M13" s="3"/>
      <c r="N13" s="3"/>
      <c r="O13" s="3"/>
      <c r="P13" s="3"/>
      <c r="Q13" s="3"/>
      <c r="R13" s="3"/>
      <c r="S13" s="6">
        <v>46105</v>
      </c>
      <c r="T13" s="6">
        <v>46110</v>
      </c>
      <c r="U13" s="5" t="s">
        <v>8</v>
      </c>
    </row>
    <row r="14" spans="1:21" ht="27.6">
      <c r="A14" s="3" t="s">
        <v>19</v>
      </c>
      <c r="B14" s="4" t="s">
        <v>21</v>
      </c>
      <c r="C14" s="3"/>
      <c r="D14" s="3"/>
      <c r="E14" s="3"/>
      <c r="F14" s="3"/>
      <c r="G14" s="3"/>
      <c r="H14" s="3"/>
      <c r="I14" s="5" t="s">
        <v>7</v>
      </c>
      <c r="J14" s="5" t="s">
        <v>7</v>
      </c>
      <c r="K14" s="3"/>
      <c r="L14" s="3"/>
      <c r="M14" s="3"/>
      <c r="N14" s="3"/>
      <c r="O14" s="3"/>
      <c r="P14" s="3"/>
      <c r="Q14" s="3"/>
      <c r="R14" s="3"/>
      <c r="S14" s="6">
        <v>46105</v>
      </c>
      <c r="T14" s="6">
        <v>46117</v>
      </c>
      <c r="U14" s="5" t="s">
        <v>8</v>
      </c>
    </row>
    <row r="15" spans="1:21" ht="27.6">
      <c r="A15" s="3" t="s">
        <v>22</v>
      </c>
      <c r="B15" s="4" t="s">
        <v>43</v>
      </c>
      <c r="C15" s="3"/>
      <c r="D15" s="3"/>
      <c r="E15" s="3"/>
      <c r="F15" s="3"/>
      <c r="G15" s="3"/>
      <c r="H15" s="3"/>
      <c r="I15" s="3"/>
      <c r="J15" s="5" t="s">
        <v>7</v>
      </c>
      <c r="K15" s="3"/>
      <c r="L15" s="3"/>
      <c r="M15" s="3"/>
      <c r="N15" s="3"/>
      <c r="O15" s="3"/>
      <c r="P15" s="3"/>
      <c r="Q15" s="3"/>
      <c r="R15" s="3"/>
      <c r="S15" s="6">
        <v>46111</v>
      </c>
      <c r="T15" s="6">
        <v>46117</v>
      </c>
      <c r="U15" s="5" t="s">
        <v>8</v>
      </c>
    </row>
    <row r="16" spans="1:21" ht="27.6">
      <c r="A16" s="3" t="s">
        <v>23</v>
      </c>
      <c r="B16" s="4" t="s">
        <v>44</v>
      </c>
      <c r="C16" s="3"/>
      <c r="D16" s="3"/>
      <c r="E16" s="3"/>
      <c r="F16" s="3"/>
      <c r="G16" s="3"/>
      <c r="H16" s="3"/>
      <c r="I16" s="3"/>
      <c r="J16" s="5" t="s">
        <v>7</v>
      </c>
      <c r="K16" s="5" t="s">
        <v>7</v>
      </c>
      <c r="L16" s="3"/>
      <c r="M16" s="3"/>
      <c r="N16" s="3"/>
      <c r="O16" s="3"/>
      <c r="P16" s="3"/>
      <c r="Q16" s="3"/>
      <c r="R16" s="3"/>
      <c r="S16" s="6">
        <v>46111</v>
      </c>
      <c r="T16" s="6">
        <v>46124</v>
      </c>
      <c r="U16" s="5" t="s">
        <v>8</v>
      </c>
    </row>
    <row r="17" spans="1:21" ht="27.6">
      <c r="A17" s="3" t="s">
        <v>45</v>
      </c>
      <c r="B17" s="4" t="s">
        <v>46</v>
      </c>
      <c r="C17" s="3"/>
      <c r="D17" s="3"/>
      <c r="E17" s="3"/>
      <c r="F17" s="3"/>
      <c r="G17" s="3"/>
      <c r="H17" s="3"/>
      <c r="I17" s="3"/>
      <c r="J17" s="3"/>
      <c r="K17" s="3"/>
      <c r="L17" s="3"/>
      <c r="M17" s="3"/>
      <c r="N17" s="3"/>
      <c r="O17" s="3"/>
      <c r="P17" s="5" t="s">
        <v>7</v>
      </c>
      <c r="Q17" s="3"/>
      <c r="R17" s="3"/>
      <c r="S17" s="6">
        <v>46156</v>
      </c>
      <c r="T17" s="6">
        <v>46156</v>
      </c>
      <c r="U17" s="5" t="s">
        <v>8</v>
      </c>
    </row>
    <row r="18" spans="1:21">
      <c r="A18" s="3" t="s">
        <v>25</v>
      </c>
      <c r="B18" s="4" t="s">
        <v>47</v>
      </c>
      <c r="C18" s="3"/>
      <c r="D18" s="3"/>
      <c r="E18" s="3"/>
      <c r="F18" s="3"/>
      <c r="G18" s="3"/>
      <c r="H18" s="3"/>
      <c r="I18" s="3"/>
      <c r="J18" s="3"/>
      <c r="K18" s="3"/>
      <c r="L18" s="3"/>
      <c r="M18" s="3"/>
      <c r="N18" s="3"/>
      <c r="O18" s="3"/>
      <c r="P18" s="5" t="s">
        <v>7</v>
      </c>
      <c r="Q18" s="3"/>
      <c r="R18" s="3"/>
      <c r="S18" s="6">
        <v>46159</v>
      </c>
      <c r="T18" s="6">
        <v>46159</v>
      </c>
      <c r="U18" s="5" t="s">
        <v>8</v>
      </c>
    </row>
    <row r="19" spans="1:21" ht="27.6">
      <c r="A19" s="3" t="s">
        <v>24</v>
      </c>
      <c r="B19" s="4" t="s">
        <v>48</v>
      </c>
      <c r="C19" s="3"/>
      <c r="D19" s="3"/>
      <c r="E19" s="3"/>
      <c r="F19" s="3"/>
      <c r="G19" s="3"/>
      <c r="H19" s="3"/>
      <c r="I19" s="3"/>
      <c r="J19" s="3"/>
      <c r="K19" s="3"/>
      <c r="L19" s="3"/>
      <c r="M19" s="3"/>
      <c r="N19" s="3"/>
      <c r="O19" s="3"/>
      <c r="P19" s="3"/>
      <c r="Q19" s="5" t="s">
        <v>7</v>
      </c>
      <c r="R19" s="3"/>
      <c r="S19" s="6">
        <v>46163</v>
      </c>
      <c r="T19" s="6">
        <v>46163</v>
      </c>
      <c r="U19" s="5" t="s">
        <v>8</v>
      </c>
    </row>
    <row r="20" spans="1:21">
      <c r="A20" s="3" t="s">
        <v>25</v>
      </c>
      <c r="B20" s="4" t="s">
        <v>26</v>
      </c>
      <c r="C20" s="3"/>
      <c r="D20" s="3"/>
      <c r="E20" s="3"/>
      <c r="F20" s="3"/>
      <c r="G20" s="3"/>
      <c r="H20" s="3"/>
      <c r="I20" s="3"/>
      <c r="J20" s="3"/>
      <c r="K20" s="3"/>
      <c r="L20" s="3"/>
      <c r="M20" s="3"/>
      <c r="N20" s="3"/>
      <c r="O20" s="3"/>
      <c r="P20" s="3"/>
      <c r="Q20" s="5" t="s">
        <v>7</v>
      </c>
      <c r="R20" s="3"/>
      <c r="S20" s="6">
        <v>46165</v>
      </c>
      <c r="T20" s="6">
        <v>46165</v>
      </c>
      <c r="U20" s="5" t="s">
        <v>8</v>
      </c>
    </row>
    <row r="21" spans="1:21">
      <c r="A21" s="3" t="s">
        <v>25</v>
      </c>
      <c r="B21" s="4" t="s">
        <v>27</v>
      </c>
      <c r="C21" s="3"/>
      <c r="D21" s="3"/>
      <c r="E21" s="3"/>
      <c r="F21" s="3"/>
      <c r="G21" s="3"/>
      <c r="H21" s="3"/>
      <c r="I21" s="3"/>
      <c r="J21" s="3"/>
      <c r="K21" s="3"/>
      <c r="L21" s="3"/>
      <c r="M21" s="3"/>
      <c r="N21" s="3"/>
      <c r="O21" s="3"/>
      <c r="P21" s="3"/>
      <c r="Q21" s="5" t="s">
        <v>7</v>
      </c>
      <c r="R21" s="3"/>
      <c r="S21" s="6">
        <v>46165</v>
      </c>
      <c r="T21" s="6">
        <v>46165</v>
      </c>
      <c r="U21" s="5" t="s">
        <v>8</v>
      </c>
    </row>
    <row r="22" spans="1:21">
      <c r="A22" s="3" t="s">
        <v>25</v>
      </c>
      <c r="B22" s="4" t="s">
        <v>28</v>
      </c>
      <c r="C22" s="3"/>
      <c r="D22" s="3"/>
      <c r="E22" s="3"/>
      <c r="F22" s="3"/>
      <c r="G22" s="3"/>
      <c r="H22" s="3"/>
      <c r="I22" s="3"/>
      <c r="J22" s="3"/>
      <c r="K22" s="3"/>
      <c r="L22" s="3"/>
      <c r="M22" s="3"/>
      <c r="N22" s="3"/>
      <c r="O22" s="3"/>
      <c r="P22" s="3"/>
      <c r="Q22" s="3"/>
      <c r="R22" s="5" t="s">
        <v>7</v>
      </c>
      <c r="S22" s="6">
        <v>46167</v>
      </c>
      <c r="T22" s="6">
        <v>46167</v>
      </c>
      <c r="U22" s="5" t="s">
        <v>8</v>
      </c>
    </row>
    <row r="23" spans="1:21" ht="27.6">
      <c r="A23" s="3" t="s">
        <v>19</v>
      </c>
      <c r="B23" s="4" t="s">
        <v>50</v>
      </c>
      <c r="C23" s="3"/>
      <c r="D23" s="3"/>
      <c r="E23" s="3"/>
      <c r="F23" s="3"/>
      <c r="G23" s="3"/>
      <c r="H23" s="3"/>
      <c r="I23" s="3"/>
      <c r="J23" s="3"/>
      <c r="K23" s="3"/>
      <c r="L23" s="3"/>
      <c r="M23" s="3"/>
      <c r="N23" s="3"/>
      <c r="O23" s="3"/>
      <c r="P23" s="3"/>
      <c r="Q23" s="3"/>
      <c r="R23" s="5" t="s">
        <v>7</v>
      </c>
      <c r="S23" s="6">
        <v>46170</v>
      </c>
      <c r="T23" s="6">
        <v>46171</v>
      </c>
      <c r="U23" s="5" t="s">
        <v>8</v>
      </c>
    </row>
    <row r="24" spans="1:21">
      <c r="A24" s="3" t="s">
        <v>30</v>
      </c>
      <c r="B24" s="4" t="s">
        <v>29</v>
      </c>
      <c r="C24" s="3"/>
      <c r="D24" s="3"/>
      <c r="E24" s="3"/>
      <c r="F24" s="3"/>
      <c r="G24" s="3"/>
      <c r="H24" s="3"/>
      <c r="I24" s="3"/>
      <c r="J24" s="3"/>
      <c r="K24" s="3"/>
      <c r="L24" s="3"/>
      <c r="M24" s="3"/>
      <c r="N24" s="3"/>
      <c r="O24" s="3"/>
      <c r="P24" s="3"/>
      <c r="Q24" s="3"/>
      <c r="R24" s="5" t="s">
        <v>7</v>
      </c>
      <c r="S24" s="6">
        <v>46172</v>
      </c>
      <c r="T24" s="6">
        <v>46177</v>
      </c>
      <c r="U24" s="5" t="s">
        <v>8</v>
      </c>
    </row>
    <row r="25" spans="1:21">
      <c r="A25" s="3" t="s">
        <v>33</v>
      </c>
      <c r="B25" s="4" t="s">
        <v>31</v>
      </c>
      <c r="C25" s="3"/>
      <c r="D25" s="3"/>
      <c r="E25" s="3"/>
      <c r="F25" s="3"/>
      <c r="G25" s="3"/>
      <c r="H25" s="3"/>
      <c r="I25" s="3"/>
      <c r="J25" s="3"/>
      <c r="K25" s="3"/>
      <c r="L25" s="3"/>
      <c r="M25" s="3"/>
      <c r="N25" s="3"/>
      <c r="O25" s="3"/>
      <c r="P25" s="3"/>
      <c r="Q25" s="3"/>
      <c r="R25" s="5" t="s">
        <v>7</v>
      </c>
      <c r="S25" s="6">
        <v>46172</v>
      </c>
      <c r="T25" s="6">
        <v>46177</v>
      </c>
      <c r="U25" s="5" t="s">
        <v>8</v>
      </c>
    </row>
    <row r="26" spans="1:21" ht="27.6">
      <c r="A26" s="3" t="s">
        <v>33</v>
      </c>
      <c r="B26" s="4" t="s">
        <v>34</v>
      </c>
      <c r="C26" s="3"/>
      <c r="D26" s="3"/>
      <c r="E26" s="3"/>
      <c r="F26" s="3"/>
      <c r="G26" s="3"/>
      <c r="H26" s="3"/>
      <c r="I26" s="3"/>
      <c r="J26" s="3"/>
      <c r="K26" s="3"/>
      <c r="L26" s="3"/>
      <c r="M26" s="3"/>
      <c r="N26" s="3"/>
      <c r="O26" s="3"/>
      <c r="P26" s="3"/>
      <c r="Q26" s="3"/>
      <c r="R26" s="5" t="s">
        <v>7</v>
      </c>
      <c r="S26" s="6">
        <v>46178</v>
      </c>
      <c r="T26" s="6">
        <v>46178</v>
      </c>
      <c r="U26" s="5" t="s">
        <v>8</v>
      </c>
    </row>
    <row r="27" spans="1:21" ht="27.6">
      <c r="A27" s="3" t="s">
        <v>35</v>
      </c>
      <c r="B27" s="4" t="s">
        <v>49</v>
      </c>
      <c r="C27" s="3"/>
      <c r="D27" s="3"/>
      <c r="E27" s="3"/>
      <c r="F27" s="3"/>
      <c r="G27" s="3"/>
      <c r="H27" s="3"/>
      <c r="I27" s="3"/>
      <c r="J27" s="3"/>
      <c r="K27" s="3"/>
      <c r="L27" s="3"/>
      <c r="M27" s="3"/>
      <c r="N27" s="3"/>
      <c r="O27" s="3"/>
      <c r="P27" s="3"/>
      <c r="Q27" s="3"/>
      <c r="R27" s="7" t="s">
        <v>7</v>
      </c>
      <c r="S27" s="6">
        <v>46182</v>
      </c>
      <c r="T27" s="6">
        <v>46186</v>
      </c>
      <c r="U27" s="7" t="s">
        <v>32</v>
      </c>
    </row>
    <row r="28" spans="1:21">
      <c r="A28" s="1"/>
      <c r="B28" s="1"/>
      <c r="C28" s="1"/>
      <c r="D28" s="1"/>
      <c r="E28" s="1"/>
      <c r="F28" s="1"/>
      <c r="G28" s="1"/>
      <c r="H28" s="1"/>
      <c r="I28" s="1"/>
      <c r="J28" s="1"/>
      <c r="K28" s="1"/>
      <c r="L28" s="1"/>
      <c r="M28" s="1"/>
      <c r="N28" s="1"/>
      <c r="O28" s="1"/>
      <c r="P28" s="1"/>
      <c r="Q28" s="1"/>
      <c r="R28" s="1"/>
      <c r="S28" s="1"/>
      <c r="T28" s="1"/>
      <c r="U28" s="1"/>
    </row>
    <row r="29" spans="1:21">
      <c r="A29" s="1"/>
      <c r="B29" s="1"/>
      <c r="C29" s="1"/>
      <c r="D29" s="1"/>
      <c r="E29" s="1"/>
      <c r="F29" s="1"/>
      <c r="G29" s="1"/>
      <c r="H29" s="1"/>
      <c r="I29" s="1"/>
      <c r="J29" s="1"/>
      <c r="K29" s="1"/>
      <c r="L29" s="1"/>
      <c r="M29" s="1"/>
      <c r="N29" s="1"/>
      <c r="O29" s="1"/>
      <c r="P29" s="1"/>
      <c r="Q29" s="1"/>
      <c r="R29" s="1"/>
      <c r="S29" s="1"/>
      <c r="T29" s="1"/>
      <c r="U29" s="1"/>
    </row>
    <row r="30" spans="1:21">
      <c r="A30" s="13" t="s">
        <v>36</v>
      </c>
      <c r="B30" s="13"/>
      <c r="C30" s="13"/>
      <c r="D30" s="13"/>
      <c r="E30" s="13"/>
      <c r="F30" s="13"/>
      <c r="G30" s="8"/>
      <c r="H30" s="8"/>
      <c r="I30" s="8"/>
      <c r="J30" s="8"/>
      <c r="K30" s="8"/>
      <c r="L30" s="8"/>
      <c r="M30" s="8"/>
      <c r="N30" s="8"/>
      <c r="O30" s="8"/>
      <c r="P30" s="8"/>
      <c r="Q30" s="8"/>
      <c r="R30" s="8"/>
      <c r="S30" s="8"/>
      <c r="T30" s="8"/>
      <c r="U30" s="8"/>
    </row>
    <row r="31" spans="1:21">
      <c r="A31" s="41"/>
      <c r="B31" s="8" t="s">
        <v>37</v>
      </c>
      <c r="C31" s="9"/>
      <c r="D31" s="8"/>
      <c r="E31" s="8"/>
      <c r="F31" s="8"/>
      <c r="G31" s="8"/>
      <c r="H31" s="8"/>
      <c r="I31" s="8"/>
      <c r="J31" s="8"/>
      <c r="K31" s="8"/>
      <c r="L31" s="8"/>
      <c r="M31" s="8"/>
      <c r="N31" s="8"/>
      <c r="O31" s="8"/>
      <c r="P31" s="8"/>
      <c r="Q31" s="8"/>
      <c r="R31" s="8"/>
      <c r="S31" s="8"/>
      <c r="T31" s="8"/>
      <c r="U31" s="8"/>
    </row>
    <row r="32" spans="1:21">
      <c r="A32" s="41"/>
      <c r="B32" s="8" t="s">
        <v>38</v>
      </c>
      <c r="C32" s="10"/>
      <c r="D32" s="8"/>
      <c r="E32" s="8"/>
      <c r="F32" s="8"/>
      <c r="G32" s="8"/>
      <c r="H32" s="8"/>
      <c r="I32" s="8"/>
      <c r="J32" s="8"/>
      <c r="K32" s="8"/>
      <c r="L32" s="8"/>
      <c r="M32" s="8"/>
      <c r="N32" s="8"/>
      <c r="O32" s="8"/>
      <c r="P32" s="8"/>
      <c r="Q32" s="8"/>
      <c r="R32" s="8"/>
      <c r="S32" s="8"/>
      <c r="T32" s="8"/>
      <c r="U32" s="8"/>
    </row>
    <row r="33" spans="1:21">
      <c r="A33" s="1"/>
      <c r="B33" s="1"/>
      <c r="C33" s="1"/>
      <c r="D33" s="1"/>
      <c r="E33" s="1"/>
      <c r="F33" s="1"/>
      <c r="G33" s="1"/>
      <c r="H33" s="1"/>
      <c r="I33" s="1"/>
      <c r="J33" s="1"/>
      <c r="K33" s="1"/>
      <c r="L33" s="1"/>
      <c r="M33" s="1"/>
      <c r="N33" s="1"/>
      <c r="O33" s="1"/>
      <c r="P33" s="1"/>
      <c r="Q33" s="1"/>
      <c r="R33" s="1"/>
      <c r="S33" s="1"/>
      <c r="T33" s="1"/>
      <c r="U33" s="1"/>
    </row>
    <row r="34" spans="1:21" ht="14.4" customHeight="1">
      <c r="A34" s="41"/>
      <c r="B34" s="14" t="s">
        <v>51</v>
      </c>
      <c r="C34" s="14"/>
      <c r="D34" s="14"/>
      <c r="E34" s="14"/>
      <c r="F34" s="14"/>
      <c r="G34" s="14"/>
      <c r="H34" s="14"/>
      <c r="I34" s="14"/>
      <c r="J34" s="14"/>
      <c r="K34" s="14"/>
      <c r="L34" s="14"/>
      <c r="M34" s="1"/>
      <c r="N34" s="1"/>
      <c r="O34" s="1"/>
      <c r="P34" s="1"/>
      <c r="Q34" s="1"/>
      <c r="R34" s="1"/>
      <c r="S34" s="1"/>
      <c r="T34" s="1"/>
      <c r="U34" s="1"/>
    </row>
    <row r="35" spans="1:21">
      <c r="A35" s="41"/>
      <c r="B35" s="14"/>
      <c r="C35" s="14"/>
      <c r="D35" s="14"/>
      <c r="E35" s="14"/>
      <c r="F35" s="14"/>
      <c r="G35" s="14"/>
      <c r="H35" s="14"/>
      <c r="I35" s="14"/>
      <c r="J35" s="14"/>
      <c r="K35" s="14"/>
      <c r="L35" s="14"/>
      <c r="M35" s="1"/>
      <c r="N35" s="1"/>
      <c r="O35" s="1"/>
      <c r="P35" s="1"/>
      <c r="Q35" s="1"/>
      <c r="R35" s="1"/>
      <c r="S35" s="1"/>
      <c r="T35" s="1"/>
      <c r="U35" s="1"/>
    </row>
    <row r="36" spans="1:21">
      <c r="A36" s="41"/>
      <c r="B36" s="14"/>
      <c r="C36" s="14"/>
      <c r="D36" s="14"/>
      <c r="E36" s="14"/>
      <c r="F36" s="14"/>
      <c r="G36" s="14"/>
      <c r="H36" s="14"/>
      <c r="I36" s="14"/>
      <c r="J36" s="14"/>
      <c r="K36" s="14"/>
      <c r="L36" s="14"/>
      <c r="M36" s="1"/>
      <c r="N36" s="1"/>
      <c r="O36" s="1"/>
      <c r="P36" s="1"/>
      <c r="Q36" s="1"/>
      <c r="R36" s="1"/>
      <c r="S36" s="1"/>
      <c r="T36" s="1"/>
      <c r="U36" s="1"/>
    </row>
    <row r="37" spans="1:21">
      <c r="A37" s="41"/>
      <c r="B37" s="14"/>
      <c r="C37" s="14"/>
      <c r="D37" s="14"/>
      <c r="E37" s="14"/>
      <c r="F37" s="14"/>
      <c r="G37" s="14"/>
      <c r="H37" s="14"/>
      <c r="I37" s="14"/>
      <c r="J37" s="14"/>
      <c r="K37" s="14"/>
      <c r="L37" s="14"/>
      <c r="M37" s="1"/>
      <c r="N37" s="1"/>
      <c r="O37" s="1"/>
      <c r="P37" s="1"/>
      <c r="Q37" s="1"/>
      <c r="R37" s="1"/>
      <c r="S37" s="1"/>
      <c r="T37" s="1"/>
      <c r="U37" s="1"/>
    </row>
    <row r="38" spans="1:21">
      <c r="A38" s="41"/>
      <c r="B38" s="14"/>
      <c r="C38" s="14"/>
      <c r="D38" s="14"/>
      <c r="E38" s="14"/>
      <c r="F38" s="14"/>
      <c r="G38" s="14"/>
      <c r="H38" s="14"/>
      <c r="I38" s="14"/>
      <c r="J38" s="14"/>
      <c r="K38" s="14"/>
      <c r="L38" s="14"/>
      <c r="M38" s="1"/>
      <c r="N38" s="1"/>
      <c r="O38" s="1"/>
      <c r="P38" s="1"/>
      <c r="Q38" s="1"/>
      <c r="R38" s="1"/>
      <c r="S38" s="1"/>
      <c r="T38" s="1"/>
      <c r="U38" s="1"/>
    </row>
    <row r="39" spans="1:21">
      <c r="A39" s="41"/>
      <c r="B39" s="41"/>
      <c r="C39" s="1"/>
      <c r="D39" s="1"/>
      <c r="E39" s="1"/>
      <c r="F39" s="1"/>
      <c r="G39" s="1"/>
      <c r="H39" s="1"/>
      <c r="I39" s="1"/>
      <c r="J39" s="1"/>
      <c r="K39" s="1"/>
      <c r="L39" s="1"/>
      <c r="M39" s="1"/>
      <c r="N39" s="1"/>
      <c r="O39" s="1"/>
      <c r="P39" s="1"/>
      <c r="Q39" s="1"/>
      <c r="R39" s="1"/>
      <c r="S39" s="1"/>
      <c r="T39" s="1"/>
      <c r="U39" s="1"/>
    </row>
  </sheetData>
  <mergeCells count="4">
    <mergeCell ref="A1:U1"/>
    <mergeCell ref="A2:U2"/>
    <mergeCell ref="A30:F30"/>
    <mergeCell ref="B34:L38"/>
  </mergeCells>
  <pageMargins left="0.25" right="0.25" top="0.75" bottom="0.75" header="0.3" footer="0.3"/>
  <pageSetup paperSize="9" scale="4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C0B0B-B554-494E-8A06-B255B0A5A697}">
  <sheetPr>
    <tabColor theme="6" tint="0.79998168889431442"/>
    <pageSetUpPr fitToPage="1"/>
  </sheetPr>
  <dimension ref="B1:O20"/>
  <sheetViews>
    <sheetView showGridLines="0" tabSelected="1" workbookViewId="0">
      <selection activeCell="J10" sqref="J10"/>
    </sheetView>
  </sheetViews>
  <sheetFormatPr baseColWidth="10" defaultRowHeight="14.4"/>
  <cols>
    <col min="6" max="6" width="16.21875" customWidth="1"/>
    <col min="7" max="7" width="14.33203125" bestFit="1" customWidth="1"/>
    <col min="9" max="9" width="11.77734375" bestFit="1" customWidth="1"/>
  </cols>
  <sheetData>
    <row r="1" spans="2:15" ht="27.6" customHeight="1">
      <c r="B1" s="24" t="s">
        <v>40</v>
      </c>
      <c r="C1" s="25"/>
      <c r="D1" s="25"/>
      <c r="E1" s="25"/>
      <c r="F1" s="25"/>
      <c r="G1" s="25"/>
      <c r="H1" s="25"/>
      <c r="I1" s="25"/>
      <c r="J1" s="25"/>
      <c r="K1" s="25"/>
      <c r="L1" s="25"/>
      <c r="M1" s="25"/>
      <c r="N1" s="25"/>
      <c r="O1" s="26"/>
    </row>
    <row r="2" spans="2:15">
      <c r="B2" s="27" t="s">
        <v>68</v>
      </c>
      <c r="C2" s="16"/>
      <c r="D2" s="16"/>
      <c r="E2" s="16"/>
      <c r="F2" s="16"/>
      <c r="G2" s="16"/>
      <c r="H2" s="16"/>
      <c r="I2" s="16"/>
      <c r="J2" s="16"/>
      <c r="K2" s="16"/>
      <c r="L2" s="16"/>
      <c r="M2" s="16"/>
      <c r="N2" s="16"/>
      <c r="O2" s="28"/>
    </row>
    <row r="3" spans="2:15" ht="48" customHeight="1">
      <c r="B3" s="27"/>
      <c r="C3" s="16"/>
      <c r="D3" s="16"/>
      <c r="E3" s="16"/>
      <c r="F3" s="16"/>
      <c r="G3" s="16"/>
      <c r="H3" s="16"/>
      <c r="I3" s="16"/>
      <c r="J3" s="16"/>
      <c r="K3" s="16"/>
      <c r="L3" s="16"/>
      <c r="M3" s="16"/>
      <c r="N3" s="16"/>
      <c r="O3" s="28"/>
    </row>
    <row r="4" spans="2:15" ht="18">
      <c r="B4" s="29" t="s">
        <v>39</v>
      </c>
      <c r="C4" s="17"/>
      <c r="D4" s="17"/>
      <c r="E4" s="17"/>
      <c r="F4" s="17"/>
      <c r="G4" s="17"/>
      <c r="H4" s="17" t="s">
        <v>73</v>
      </c>
      <c r="I4" s="17" t="s">
        <v>75</v>
      </c>
      <c r="J4" s="17"/>
      <c r="K4" s="17"/>
      <c r="L4" s="17"/>
      <c r="M4" s="17"/>
      <c r="N4" s="17"/>
      <c r="O4" s="30"/>
    </row>
    <row r="5" spans="2:15">
      <c r="B5" s="31"/>
      <c r="C5" s="17"/>
      <c r="D5" s="17"/>
      <c r="E5" s="17"/>
      <c r="F5" s="17"/>
      <c r="G5" s="17"/>
      <c r="H5" s="18">
        <v>1750905</v>
      </c>
      <c r="I5" s="18">
        <f>H5/2</f>
        <v>875452.5</v>
      </c>
      <c r="J5" s="17"/>
      <c r="K5" s="17"/>
      <c r="L5" s="17"/>
      <c r="M5" s="17"/>
      <c r="N5" s="17"/>
      <c r="O5" s="30"/>
    </row>
    <row r="6" spans="2:15">
      <c r="B6" s="32"/>
      <c r="C6" s="17"/>
      <c r="D6" s="17"/>
      <c r="E6" s="17"/>
      <c r="F6" s="17"/>
      <c r="G6" s="17"/>
      <c r="H6" s="17"/>
      <c r="I6" s="17"/>
      <c r="J6" s="17"/>
      <c r="K6" s="17"/>
      <c r="L6" s="17"/>
      <c r="M6" s="17"/>
      <c r="N6" s="17"/>
      <c r="O6" s="30"/>
    </row>
    <row r="7" spans="2:15">
      <c r="B7" s="32" t="s">
        <v>71</v>
      </c>
      <c r="C7" s="17"/>
      <c r="D7" s="17"/>
      <c r="E7" s="19" t="s">
        <v>72</v>
      </c>
      <c r="F7" s="19" t="s">
        <v>74</v>
      </c>
      <c r="G7" s="21" t="s">
        <v>77</v>
      </c>
      <c r="H7" s="17"/>
      <c r="I7" s="17"/>
      <c r="J7" s="17"/>
      <c r="K7" s="17"/>
      <c r="L7" s="17"/>
      <c r="M7" s="17"/>
      <c r="N7" s="17"/>
      <c r="O7" s="30"/>
    </row>
    <row r="8" spans="2:15">
      <c r="B8" s="32"/>
      <c r="C8" s="17"/>
      <c r="D8" s="17"/>
      <c r="E8" s="17"/>
      <c r="F8" s="17"/>
      <c r="G8" s="17"/>
      <c r="H8" s="17"/>
      <c r="I8" s="17"/>
      <c r="J8" s="17"/>
      <c r="K8" s="17"/>
      <c r="L8" s="17"/>
      <c r="M8" s="17"/>
      <c r="N8" s="17"/>
      <c r="O8" s="30"/>
    </row>
    <row r="9" spans="2:15">
      <c r="B9" s="33" t="s">
        <v>69</v>
      </c>
      <c r="C9" s="17"/>
      <c r="D9" s="17"/>
      <c r="E9" s="19">
        <v>75</v>
      </c>
      <c r="F9" s="20">
        <f>I5/E9</f>
        <v>11672.7</v>
      </c>
      <c r="G9" s="20">
        <f>F9*E9</f>
        <v>875452.5</v>
      </c>
      <c r="H9" s="17"/>
      <c r="I9" s="17"/>
      <c r="J9" s="17"/>
      <c r="K9" s="17"/>
      <c r="L9" s="17"/>
      <c r="M9" s="17"/>
      <c r="N9" s="17"/>
      <c r="O9" s="30"/>
    </row>
    <row r="10" spans="2:15">
      <c r="B10" s="32"/>
      <c r="C10" s="17"/>
      <c r="D10" s="17"/>
      <c r="E10" s="19"/>
      <c r="F10" s="17"/>
      <c r="G10" s="17"/>
      <c r="H10" s="17"/>
      <c r="I10" s="17"/>
      <c r="J10" s="17"/>
      <c r="K10" s="17"/>
      <c r="L10" s="17"/>
      <c r="M10" s="17"/>
      <c r="N10" s="17"/>
      <c r="O10" s="30"/>
    </row>
    <row r="11" spans="2:15">
      <c r="B11" s="33" t="s">
        <v>70</v>
      </c>
      <c r="C11" s="17"/>
      <c r="D11" s="17"/>
      <c r="E11" s="19">
        <v>75</v>
      </c>
      <c r="F11" s="20">
        <f>I5/E11</f>
        <v>11672.7</v>
      </c>
      <c r="G11" s="20">
        <f>F11*E11</f>
        <v>875452.5</v>
      </c>
      <c r="H11" s="17"/>
      <c r="I11" s="17"/>
      <c r="J11" s="17"/>
      <c r="K11" s="17"/>
      <c r="L11" s="17"/>
      <c r="M11" s="17"/>
      <c r="N11" s="17"/>
      <c r="O11" s="30"/>
    </row>
    <row r="12" spans="2:15">
      <c r="B12" s="33"/>
      <c r="C12" s="17"/>
      <c r="D12" s="17"/>
      <c r="E12" s="17"/>
      <c r="F12" s="17"/>
      <c r="G12" s="17"/>
      <c r="H12" s="17"/>
      <c r="I12" s="17"/>
      <c r="J12" s="17"/>
      <c r="K12" s="17"/>
      <c r="L12" s="17"/>
      <c r="M12" s="17"/>
      <c r="N12" s="17"/>
      <c r="O12" s="30"/>
    </row>
    <row r="13" spans="2:15">
      <c r="B13" s="37"/>
      <c r="C13" s="38" t="s">
        <v>76</v>
      </c>
      <c r="D13" s="38"/>
      <c r="E13" s="39">
        <v>150</v>
      </c>
      <c r="F13" s="40">
        <f>F11+F9</f>
        <v>23345.4</v>
      </c>
      <c r="G13" s="40">
        <f>G11+G9</f>
        <v>1750905</v>
      </c>
      <c r="H13" s="38"/>
      <c r="I13" s="17"/>
      <c r="J13" s="17"/>
      <c r="K13" s="17"/>
      <c r="L13" s="17"/>
      <c r="M13" s="17"/>
      <c r="N13" s="17"/>
      <c r="O13" s="30"/>
    </row>
    <row r="14" spans="2:15">
      <c r="B14" s="34"/>
      <c r="C14" s="35"/>
      <c r="D14" s="35"/>
      <c r="E14" s="35"/>
      <c r="F14" s="35"/>
      <c r="G14" s="35"/>
      <c r="H14" s="35"/>
      <c r="I14" s="35"/>
      <c r="J14" s="35"/>
      <c r="K14" s="35"/>
      <c r="L14" s="35"/>
      <c r="M14" s="35"/>
      <c r="N14" s="35"/>
      <c r="O14" s="36"/>
    </row>
    <row r="15" spans="2:15">
      <c r="B15" s="22"/>
      <c r="C15" s="17"/>
      <c r="D15" s="17"/>
      <c r="E15" s="17"/>
      <c r="F15" s="17"/>
      <c r="G15" s="17"/>
      <c r="H15" s="17"/>
      <c r="I15" s="17"/>
      <c r="J15" s="17"/>
      <c r="K15" s="17"/>
      <c r="L15" s="17"/>
      <c r="M15" s="17"/>
      <c r="N15" s="17"/>
      <c r="O15" s="17"/>
    </row>
    <row r="16" spans="2:15">
      <c r="B16" s="17"/>
      <c r="C16" s="17"/>
      <c r="D16" s="17"/>
      <c r="E16" s="17"/>
      <c r="F16" s="17"/>
      <c r="G16" s="17"/>
      <c r="H16" s="17"/>
      <c r="I16" s="17"/>
      <c r="J16" s="17"/>
      <c r="K16" s="17"/>
      <c r="L16" s="17"/>
      <c r="M16" s="17"/>
      <c r="N16" s="17"/>
      <c r="O16" s="17"/>
    </row>
    <row r="17" spans="2:15">
      <c r="B17" s="23"/>
      <c r="C17" s="23"/>
      <c r="D17" s="23"/>
      <c r="E17" s="23"/>
      <c r="F17" s="23"/>
      <c r="G17" s="23"/>
      <c r="H17" s="23"/>
      <c r="I17" s="23"/>
      <c r="J17" s="23"/>
      <c r="K17" s="23"/>
      <c r="L17" s="23"/>
      <c r="M17" s="23"/>
      <c r="N17" s="23"/>
      <c r="O17" s="23"/>
    </row>
    <row r="18" spans="2:15" ht="76.8" customHeight="1">
      <c r="B18" s="23"/>
      <c r="C18" s="23"/>
      <c r="D18" s="23"/>
      <c r="E18" s="23"/>
      <c r="F18" s="23"/>
      <c r="G18" s="23"/>
      <c r="H18" s="23"/>
      <c r="I18" s="23"/>
      <c r="J18" s="23"/>
      <c r="K18" s="23"/>
      <c r="L18" s="23"/>
      <c r="M18" s="23"/>
      <c r="N18" s="23"/>
      <c r="O18" s="23"/>
    </row>
    <row r="20" spans="2:15">
      <c r="D20" s="15"/>
    </row>
  </sheetData>
  <mergeCells count="3">
    <mergeCell ref="B2:O3"/>
    <mergeCell ref="B17:O18"/>
    <mergeCell ref="B1:O1"/>
  </mergeCells>
  <pageMargins left="0.7" right="0.7" top="0.75" bottom="0.75" header="0.3" footer="0.3"/>
  <pageSetup paperSize="9" scale="7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DIAGRAMA DE GANTT</vt:lpstr>
      <vt:lpstr>PRESUPUESTACION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CAMILA CASTRO ESTRADA</dc:creator>
  <cp:lastModifiedBy>MARIA CAMILA CASTRO ESTRADA</cp:lastModifiedBy>
  <cp:lastPrinted>2026-06-06T03:17:35Z</cp:lastPrinted>
  <dcterms:created xsi:type="dcterms:W3CDTF">2026-03-28T02:46:47Z</dcterms:created>
  <dcterms:modified xsi:type="dcterms:W3CDTF">2026-06-06T03:17:39Z</dcterms:modified>
</cp:coreProperties>
</file>